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isk Register" sheetId="2" state="visible" r:id="rId4"/>
    <sheet name="Scoring Key" sheetId="3" state="visible" r:id="rId5"/>
    <sheet name="Action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<sst xmlns="http://schemas.openxmlformats.org/spreadsheetml/2006/main" count="274" uniqueCount="212">
  <si>
    <t xml:space="preserve">DPIA — Risk Register</t>
  </si>
  <si>
    <t xml:space="preserve">Telehealth Video Consultation Service · HealthBridge Solutions Ltd.</t>
  </si>
  <si>
    <t xml:space="preserve">Reference: DPIA-RR-2026-01 · Companion to DPIA-2026-01</t>
  </si>
  <si>
    <t xml:space="preserve">Controller</t>
  </si>
  <si>
    <t xml:space="preserve">HealthBridge Solutions Ltd. (fictional)</t>
  </si>
  <si>
    <t xml:space="preserve">Service</t>
  </si>
  <si>
    <t xml:space="preserve">B2C telehealth video consultation</t>
  </si>
  <si>
    <t xml:space="preserve">Owner</t>
  </si>
  <si>
    <t xml:space="preserve">Privacy Office — Deepak N</t>
  </si>
  <si>
    <t xml:space="preserve">DPO</t>
  </si>
  <si>
    <t xml:space="preserve">[Name] · dpo@healthbridge.example</t>
  </si>
  <si>
    <t xml:space="preserve">Version</t>
  </si>
  <si>
    <t xml:space="preserve">1.0 (Draft)</t>
  </si>
  <si>
    <t xml:space="preserve">Date</t>
  </si>
  <si>
    <t xml:space="preserve">22 May 2026</t>
  </si>
  <si>
    <t xml:space="preserve">Next review</t>
  </si>
  <si>
    <t xml:space="preserve">22 May 2027 or on material change</t>
  </si>
  <si>
    <t xml:space="preserve">Status</t>
  </si>
  <si>
    <t xml:space="preserve">DRAFT — awaiting DPO sign-off</t>
  </si>
  <si>
    <t xml:space="preserve">How to use this workbook</t>
  </si>
  <si>
    <t xml:space="preserve">1. Open the 'Risk Register' sheet. Each row is one risk. Inherent risk = Inherent L × Inherent S; Residual risk = Residual L × Residual S — both are calculated by formula.</t>
  </si>
  <si>
    <t xml:space="preserve">2. To add a risk: insert a row below the last entry; pick L and S values from the dropdowns (1–4); the score and rating cells will update automatically.</t>
  </si>
  <si>
    <t xml:space="preserve">3. The 'Scoring Key' sheet shows what each number means and what action each rating requires.</t>
  </si>
  <si>
    <t xml:space="preserve">4. The 'Action Log' sheet tracks the mitigation actions that come out of the register — one row per action, with owner and due date.</t>
  </si>
  <si>
    <t xml:space="preserve">5. Watermark every PDF export with 'Fictional · Portfolio Use Only'.</t>
  </si>
  <si>
    <t xml:space="preserve">Sheets in this workbook</t>
  </si>
  <si>
    <t xml:space="preserve">README</t>
  </si>
  <si>
    <t xml:space="preserve">This page — overview and instructions.</t>
  </si>
  <si>
    <t xml:space="preserve">Risk Register</t>
  </si>
  <si>
    <t xml:space="preserve">The 14 risks identified in the DPIA, with L/S scoring, mitigations, and residual scoring.</t>
  </si>
  <si>
    <t xml:space="preserve">Scoring Key</t>
  </si>
  <si>
    <t xml:space="preserve">Likelihood and severity definitions and the rating bands.</t>
  </si>
  <si>
    <t xml:space="preserve">Action Log</t>
  </si>
  <si>
    <t xml:space="preserve">Mitigation actions with owner and due date.</t>
  </si>
  <si>
    <t xml:space="preserve">FICTIONAL SCENARIO · PORTFOLIO USE ONLY</t>
  </si>
  <si>
    <t xml:space="preserve">Risk Register — Telehealth Consultation Service</t>
  </si>
  <si>
    <t xml:space="preserve">Inherent score = Inherent L × Inherent S | Residual score = Residual L × Residual S | Bands: 1–3 Low (green), 4–7 Medium (amber), 8+ High (red)</t>
  </si>
  <si>
    <t xml:space="preserve">ID</t>
  </si>
  <si>
    <t xml:space="preserve">Category</t>
  </si>
  <si>
    <t xml:space="preserve">Risk description</t>
  </si>
  <si>
    <t xml:space="preserve">Affected rights / freedoms</t>
  </si>
  <si>
    <t xml:space="preserve">Inherent L</t>
  </si>
  <si>
    <t xml:space="preserve">Inherent S</t>
  </si>
  <si>
    <t xml:space="preserve">Inherent Score</t>
  </si>
  <si>
    <t xml:space="preserve">Mitigation</t>
  </si>
  <si>
    <t xml:space="preserve">Residual L</t>
  </si>
  <si>
    <t xml:space="preserve">Residual S</t>
  </si>
  <si>
    <t xml:space="preserve">Residual Score</t>
  </si>
  <si>
    <t xml:space="preserve">Due</t>
  </si>
  <si>
    <t xml:space="preserve">R-01</t>
  </si>
  <si>
    <t xml:space="preserve">Confidentiality</t>
  </si>
  <si>
    <t xml:space="preserve">Unauthorised access to consultation recordings (insider misuse or processor breach at Zoom).</t>
  </si>
  <si>
    <t xml:space="preserve">Loss of confidentiality of special-category health data; reputational and psychological harm.</t>
  </si>
  <si>
    <t xml:space="preserve">Recording off by default; per-session opt-in; AES-256 at rest; role-based access; SIEM alerts on bulk access; 30-day auto-delete.</t>
  </si>
  <si>
    <t xml:space="preserve">CISO</t>
  </si>
  <si>
    <t xml:space="preserve">Pre-launch</t>
  </si>
  <si>
    <t xml:space="preserve">R-02</t>
  </si>
  <si>
    <t xml:space="preserve">Accuracy</t>
  </si>
  <si>
    <t xml:space="preserve">Patient identity mis-verification — wrong patient joins the consultation.</t>
  </si>
  <si>
    <t xml:space="preserve">Disclosure of health data to the wrong individual; clinical safety risk.</t>
  </si>
  <si>
    <t xml:space="preserve">Clinician verbal challenge at session start (name + DOB + first line of address); documented in consultation note.</t>
  </si>
  <si>
    <t xml:space="preserve">Clinical Lead</t>
  </si>
  <si>
    <t xml:space="preserve">R-03</t>
  </si>
  <si>
    <t xml:space="preserve">Context</t>
  </si>
  <si>
    <t xml:space="preserve">Third party overhears the consultation at the patient's location.</t>
  </si>
  <si>
    <t xml:space="preserve">Loss of confidentiality; psychological harm; loss of trust.</t>
  </si>
  <si>
    <t xml:space="preserve">Pre-consultation prompt to find a private space; clinician asks at start; free reschedule if patient not private.</t>
  </si>
  <si>
    <t xml:space="preserve">Product</t>
  </si>
  <si>
    <t xml:space="preserve">R-04</t>
  </si>
  <si>
    <t xml:space="preserve">Security</t>
  </si>
  <si>
    <t xml:space="preserve">Network interception of unencrypted traffic on insecure Wi-Fi.</t>
  </si>
  <si>
    <t xml:space="preserve">Loss of confidentiality; identity-theft risk.</t>
  </si>
  <si>
    <t xml:space="preserve">TLS 1.2+ enforced; AES-256 at rest; app refuses to start over open Wi-Fi where detectable.</t>
  </si>
  <si>
    <t xml:space="preserve">R-05</t>
  </si>
  <si>
    <t xml:space="preserve">AI summary contains an error that the clinician fails to catch.</t>
  </si>
  <si>
    <t xml:space="preserve">Inaccurate clinical record (Article 5(1)(d)); clinical safety risk; downstream harm to subsequent care.</t>
  </si>
  <si>
    <t xml:space="preserve">Summary marked AI-drafted; clinician must positively confirm save; 5% sample audit by Clinical Safety; DCB0129/0160 hazard log entry.</t>
  </si>
  <si>
    <t xml:space="preserve">Clinical Safety</t>
  </si>
  <si>
    <t xml:space="preserve">Ongoing</t>
  </si>
  <si>
    <t xml:space="preserve">R-06</t>
  </si>
  <si>
    <t xml:space="preserve">Lawfulness</t>
  </si>
  <si>
    <t xml:space="preserve">Recording made without effective explicit consent (dark-pattern join screen).</t>
  </si>
  <si>
    <t xml:space="preserve">Unlawful processing of special-category data; loss of control.</t>
  </si>
  <si>
    <t xml:space="preserve">Opt-in unticked by default; equal prominence with 'Continue without recording'; in-session revocation; persistent recording banner.</t>
  </si>
  <si>
    <t xml:space="preserve">Product + DPO</t>
  </si>
  <si>
    <t xml:space="preserve">R-07</t>
  </si>
  <si>
    <t xml:space="preserve">Transfers</t>
  </si>
  <si>
    <t xml:space="preserve">US transfer — government access request to Zoom or Twilio under FISA 702 / EO 12333.</t>
  </si>
  <si>
    <t xml:space="preserve">Loss of control; potential disclosure to foreign authorities; Article 44 risk.</t>
  </si>
  <si>
    <t xml:space="preserve">Signed UK Addendum; documented TIA; supplementary measures (HealthBridge-held keys for stored data; transparency report obligation; procedure for handling requests).</t>
  </si>
  <si>
    <t xml:space="preserve">R-08</t>
  </si>
  <si>
    <t xml:space="preserve">Sub-processor sprawl — Zoom adds a third-country sub-processor without effective notice.</t>
  </si>
  <si>
    <t xml:space="preserve">Unmonitored transfer; loss of control over chain.</t>
  </si>
  <si>
    <t xml:space="preserve">30-day prior-notice contractual right; right to object; quarterly sub-processor list review; sub-processors listed in privacy notice.</t>
  </si>
  <si>
    <t xml:space="preserve">Procurement + DPO</t>
  </si>
  <si>
    <t xml:space="preserve">R-09</t>
  </si>
  <si>
    <t xml:space="preserve">Storage limitation</t>
  </si>
  <si>
    <t xml:space="preserve">Excessive retention — recordings retained beyond 30 days due to backup misconfiguration.</t>
  </si>
  <si>
    <t xml:space="preserve">Breach of Article 5(1)(e); increased breach exposure window.</t>
  </si>
  <si>
    <t xml:space="preserve">Backup retention aligned to 30-day recording retention; quarterly retention audit; weekly verification of auto-delete jobs.</t>
  </si>
  <si>
    <t xml:space="preserve">R-10</t>
  </si>
  <si>
    <t xml:space="preserve">Account takeover via SMS OTP interception (SIM swap).</t>
  </si>
  <si>
    <t xml:space="preserve">Unauthorised access to health record; identity-theft risk.</t>
  </si>
  <si>
    <t xml:space="preserve">Migrate primary authentication to TOTP / authenticator app within 12 months; SMS as fallback only; suspicious-login telemetry.</t>
  </si>
  <si>
    <t xml:space="preserve">+12 months</t>
  </si>
  <si>
    <t xml:space="preserve">R-11</t>
  </si>
  <si>
    <t xml:space="preserve">Clinician uses a personal device (BYOD) without HealthBridge controls.</t>
  </si>
  <si>
    <t xml:space="preserve">Increased risk of breach via lost / compromised device.</t>
  </si>
  <si>
    <t xml:space="preserve">Managed devices issued; BYOD prohibited for consultations; EMM enforces encryption, MFA, OS minimums; AUP signed.</t>
  </si>
  <si>
    <t xml:space="preserve">R-12</t>
  </si>
  <si>
    <t xml:space="preserve">Accountability</t>
  </si>
  <si>
    <t xml:space="preserve">Breach detection delay — incident at processor not flagged within Article 33 timeframe.</t>
  </si>
  <si>
    <t xml:space="preserve">Failure to meet 72-hour ICO notification obligation; harm to data subjects.</t>
  </si>
  <si>
    <t xml:space="preserve">DPA requires processor notification without undue delay and no later than 24 hours; tabletop conducted (project 08).</t>
  </si>
  <si>
    <t xml:space="preserve">DPO + CISO</t>
  </si>
  <si>
    <t xml:space="preserve">+30 days</t>
  </si>
  <si>
    <t xml:space="preserve">R-13</t>
  </si>
  <si>
    <t xml:space="preserve">Vulnerable subjects</t>
  </si>
  <si>
    <t xml:space="preserve">Child patient processed without effective parental consent and age verification.</t>
  </si>
  <si>
    <t xml:space="preserve">Processing of a child without competent consent; reputational harm; ICO enforcement risk.</t>
  </si>
  <si>
    <t xml:space="preserve">Adult-age declaration gating; parent/guardian flow for 13–17 with parent ID verification; age re-verification at 18. Service designed to the ICO Age Appropriate Design Code (Children's Code) — default high-privacy settings, plain-English notices, no nudge techniques in the account flow.</t>
  </si>
  <si>
    <t xml:space="preserve">R-14</t>
  </si>
  <si>
    <t xml:space="preserve">Rights</t>
  </si>
  <si>
    <t xml:space="preserve">Patient cannot effectively exercise rights (e.g., no clear erasure pathway for non-clinical data).</t>
  </si>
  <si>
    <t xml:space="preserve">Frustration of Articles 12–22 rights; complaint risk.</t>
  </si>
  <si>
    <t xml:space="preserve">Rights pathway documented in privacy notice and in-app; DSR workflow tested (project 06); one-month deadline tracked.</t>
  </si>
  <si>
    <t xml:space="preserve">Privacy Office</t>
  </si>
  <si>
    <t xml:space="preserve">Likelihood and severity are each scored 1–4. Inherent score = L × S. Same methodology for residual.</t>
  </si>
  <si>
    <t xml:space="preserve">Likelihood</t>
  </si>
  <si>
    <t xml:space="preserve">Score</t>
  </si>
  <si>
    <t xml:space="preserve">Label</t>
  </si>
  <si>
    <t xml:space="preserve">Definition</t>
  </si>
  <si>
    <t xml:space="preserve">Indicative frequency</t>
  </si>
  <si>
    <t xml:space="preserve">Rare</t>
  </si>
  <si>
    <t xml:space="preserve">Very unlikely; would require a chain of failures to occur.</t>
  </si>
  <si>
    <t xml:space="preserve">Less than once per 5 years</t>
  </si>
  <si>
    <t xml:space="preserve">Unlikely</t>
  </si>
  <si>
    <t xml:space="preserve">Possible but not expected.</t>
  </si>
  <si>
    <t xml:space="preserve">Once every 1–5 years</t>
  </si>
  <si>
    <t xml:space="preserve">Possible</t>
  </si>
  <si>
    <t xml:space="preserve">Could reasonably occur in the normal course of operations.</t>
  </si>
  <si>
    <t xml:space="preserve">Once or twice per year</t>
  </si>
  <si>
    <t xml:space="preserve">Likely</t>
  </si>
  <si>
    <t xml:space="preserve">Expected to occur, possibly repeatedly.</t>
  </si>
  <si>
    <t xml:space="preserve">Multiple times per year</t>
  </si>
  <si>
    <t xml:space="preserve">Severity (impact on rights and freedoms of the data subject)</t>
  </si>
  <si>
    <t xml:space="preserve">Examples in a healthcare context</t>
  </si>
  <si>
    <t xml:space="preserve">Minimal</t>
  </si>
  <si>
    <t xml:space="preserve">Trivial inconvenience; subject can recover without effort.</t>
  </si>
  <si>
    <t xml:space="preserve">Mis-spelt name on a non-clinical receipt.</t>
  </si>
  <si>
    <t xml:space="preserve">Limited</t>
  </si>
  <si>
    <t xml:space="preserve">Some inconvenience or distress; subject can overcome with limited effort.</t>
  </si>
  <si>
    <t xml:space="preserve">Brief loss of access to the app; minor disclosure of non-sensitive data.</t>
  </si>
  <si>
    <t xml:space="preserve">Significant</t>
  </si>
  <si>
    <t xml:space="preserve">Real impact — financial, reputational, or psychological — that the subject cannot easily overcome.</t>
  </si>
  <si>
    <t xml:space="preserve">Disclosure of a health condition to a household member; account takeover.</t>
  </si>
  <si>
    <t xml:space="preserve">Severe</t>
  </si>
  <si>
    <t xml:space="preserve">Lasting harm — physical, financial, psychological — possibly irreversible. Special-category data exposed at scale.</t>
  </si>
  <si>
    <t xml:space="preserve">Public disclosure of mental-health, sexual-health, or HIV status; identity theft; safety risk to the patient.</t>
  </si>
  <si>
    <t xml:space="preserve">Rating Bands and Treatment</t>
  </si>
  <si>
    <t xml:space="preserve">Rating</t>
  </si>
  <si>
    <t xml:space="preserve">Treatment</t>
  </si>
  <si>
    <t xml:space="preserve">Sign-off required</t>
  </si>
  <si>
    <t xml:space="preserve">1–3</t>
  </si>
  <si>
    <t xml:space="preserve">Low</t>
  </si>
  <si>
    <t xml:space="preserve">Accept; monitor at standard cadence.</t>
  </si>
  <si>
    <t xml:space="preserve">Risk owner</t>
  </si>
  <si>
    <t xml:space="preserve">4–7</t>
  </si>
  <si>
    <t xml:space="preserve">Medium</t>
  </si>
  <si>
    <t xml:space="preserve">Mitigate to bring residual to Low where reasonably practicable; review annually.</t>
  </si>
  <si>
    <t xml:space="preserve">Risk owner + DPO</t>
  </si>
  <si>
    <t xml:space="preserve">8–12</t>
  </si>
  <si>
    <t xml:space="preserve">High</t>
  </si>
  <si>
    <t xml:space="preserve">Mitigate; do not launch with this rating residual.</t>
  </si>
  <si>
    <t xml:space="preserve">DPO + service owner</t>
  </si>
  <si>
    <t xml:space="preserve">13–16</t>
  </si>
  <si>
    <t xml:space="preserve">Very High</t>
  </si>
  <si>
    <t xml:space="preserve">Do not launch; consult ICO under Article 36 before proceeding if residual remains.</t>
  </si>
  <si>
    <t xml:space="preserve">DPO + CEO</t>
  </si>
  <si>
    <t xml:space="preserve">Mitigation actions arising from the risk register. Update status as work progresses.</t>
  </si>
  <si>
    <t xml:space="preserve">#</t>
  </si>
  <si>
    <t xml:space="preserve">Risk ID(s)</t>
  </si>
  <si>
    <t xml:space="preserve">Action</t>
  </si>
  <si>
    <t xml:space="preserve">Notes</t>
  </si>
  <si>
    <t xml:space="preserve">R-01, R-04, R-09</t>
  </si>
  <si>
    <t xml:space="preserve">Confirm AES-256 at rest and TLS 1.2+ in transit with Zoom; obtain SOC 2 + ISO 27001 report.</t>
  </si>
  <si>
    <t xml:space="preserve">Open</t>
  </si>
  <si>
    <t xml:space="preserve">Evidence to be filed in the procurement pack.</t>
  </si>
  <si>
    <t xml:space="preserve">Implement 5% sample audit of AI summaries; report monthly to clinical safety committee.</t>
  </si>
  <si>
    <t xml:space="preserve">Clinical Safety Officer</t>
  </si>
  <si>
    <t xml:space="preserve">Audit template to be defined.</t>
  </si>
  <si>
    <t xml:space="preserve">QA review of recording opt-in flow against ICO consent guidance; remove any dark-pattern wording.</t>
  </si>
  <si>
    <t xml:space="preserve">Test with the patient panel.</t>
  </si>
  <si>
    <t xml:space="preserve">R-07, R-08</t>
  </si>
  <si>
    <t xml:space="preserve">Sign UK Addendum + TIA for Zoom and Twilio; file in legal vault.</t>
  </si>
  <si>
    <t xml:space="preserve">DPO + Procurement</t>
  </si>
  <si>
    <t xml:space="preserve">Linked to project 03.</t>
  </si>
  <si>
    <t xml:space="preserve">Plan migration to authenticator-app primary auth; SMS to legacy.</t>
  </si>
  <si>
    <t xml:space="preserve">Vendor selection underway.</t>
  </si>
  <si>
    <t xml:space="preserve">Issue managed devices to all clinicians; revoke BYOD access.</t>
  </si>
  <si>
    <t xml:space="preserve">EMM rollout scheduled.</t>
  </si>
  <si>
    <t xml:space="preserve">Run incident response tabletop (project 08).</t>
  </si>
  <si>
    <t xml:space="preserve">CISO + DPO</t>
  </si>
  <si>
    <t xml:space="preserve">Calendar invite sent.</t>
  </si>
  <si>
    <t xml:space="preserve">Build parent/guardian account flow with re-verification at 18.</t>
  </si>
  <si>
    <t xml:space="preserve">Spec drafted.</t>
  </si>
  <si>
    <t xml:space="preserve">All</t>
  </si>
  <si>
    <t xml:space="preserve">Publish refreshed privacy notice with sub-processor list.</t>
  </si>
  <si>
    <t xml:space="preserve">Linked to project 01 inventory.</t>
  </si>
  <si>
    <t xml:space="preserve">Schedule next DPIA review.</t>
  </si>
  <si>
    <t xml:space="preserve">22 May 2027</t>
  </si>
  <si>
    <t xml:space="preserve">Recurring calendar event.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</si>
</sst>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A1628"/>
      <name val="Arial"/>
      <family val="0"/>
      <charset val="1"/>
    </font>
    <font>
      <sz val="12"/>
      <color rgb="FF4A5568"/>
      <name val="Arial"/>
      <family val="0"/>
      <charset val="1"/>
    </font>
    <font>
      <i val="true"/>
      <sz val="10"/>
      <color rgb="FF4A5568"/>
      <name val="Arial"/>
      <family val="0"/>
      <charset val="1"/>
    </font>
    <font>
      <b val="true"/>
      <sz val="10"/>
      <color rgb="FF0A1628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0A1628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i val="true"/>
      <sz val="9"/>
      <color rgb="FF4A556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A162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5F0E6"/>
        <bgColor rgb="FFFDECEA"/>
      </patternFill>
    </fill>
    <fill>
      <patternFill patternType="solid">
        <fgColor rgb="FF0A1628"/>
        <bgColor rgb="FF000000"/>
      </patternFill>
    </fill>
    <fill>
      <patternFill patternType="solid">
        <fgColor rgb="FFEDF7F2"/>
        <bgColor rgb="FFF5F0E6"/>
      </patternFill>
    </fill>
    <fill>
      <patternFill patternType="solid">
        <fgColor rgb="FFFEF3C7"/>
        <bgColor rgb="FFF5F0E6"/>
      </patternFill>
    </fill>
    <fill>
      <patternFill patternType="solid">
        <fgColor rgb="FFFDECEA"/>
        <bgColor rgb="FFF5F0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DF7F2"/>
        </patternFill>
      </fill>
    </dxf>
    <dxf>
      <fill>
        <patternFill>
          <bgColor rgb="FFFEF3C7"/>
        </patternFill>
      </fill>
    </dxf>
    <dxf>
      <fill>
        <patternFill>
          <bgColor rgb="FFFDEC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EDF7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0E6"/>
      <rgbColor rgb="FFCCFFCC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03366"/>
      <rgbColor rgb="FF339966"/>
      <rgbColor rgb="FF0A1628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7" min="4" style="0" width="22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true" outlineLevel="0" collapsed="false">
      <c r="B6" s="4" t="s">
        <v>3</v>
      </c>
      <c r="C6" s="5" t="s">
        <v>4</v>
      </c>
      <c r="D6" s="5"/>
      <c r="E6" s="5"/>
      <c r="F6" s="5"/>
    </row>
    <row r="7" customFormat="false" ht="15" hidden="false" customHeight="true" outlineLevel="0" collapsed="false">
      <c r="B7" s="4" t="s">
        <v>5</v>
      </c>
      <c r="C7" s="5" t="s">
        <v>6</v>
      </c>
      <c r="D7" s="5"/>
      <c r="E7" s="5"/>
      <c r="F7" s="5"/>
    </row>
    <row r="8" customFormat="false" ht="15" hidden="false" customHeight="true" outlineLevel="0" collapsed="false">
      <c r="B8" s="4" t="s">
        <v>7</v>
      </c>
      <c r="C8" s="5" t="s">
        <v>8</v>
      </c>
      <c r="D8" s="5"/>
      <c r="E8" s="5"/>
      <c r="F8" s="5"/>
    </row>
    <row r="9" customFormat="false" ht="15" hidden="false" customHeight="true" outlineLevel="0" collapsed="false">
      <c r="B9" s="4" t="s">
        <v>9</v>
      </c>
      <c r="C9" s="5" t="s">
        <v>10</v>
      </c>
      <c r="D9" s="5"/>
      <c r="E9" s="5"/>
      <c r="F9" s="5"/>
    </row>
    <row r="10" customFormat="false" ht="15" hidden="false" customHeight="true" outlineLevel="0" collapsed="false">
      <c r="B10" s="4" t="s">
        <v>11</v>
      </c>
      <c r="C10" s="5" t="s">
        <v>12</v>
      </c>
      <c r="D10" s="5"/>
      <c r="E10" s="5"/>
      <c r="F10" s="5"/>
    </row>
    <row r="11" customFormat="false" ht="15" hidden="false" customHeight="true" outlineLevel="0" collapsed="false">
      <c r="B11" s="4" t="s">
        <v>13</v>
      </c>
      <c r="C11" s="5" t="s">
        <v>14</v>
      </c>
      <c r="D11" s="5"/>
      <c r="E11" s="5"/>
      <c r="F11" s="5"/>
    </row>
    <row r="12" customFormat="false" ht="15" hidden="false" customHeight="true" outlineLevel="0" collapsed="false">
      <c r="B12" s="4" t="s">
        <v>15</v>
      </c>
      <c r="C12" s="5" t="s">
        <v>16</v>
      </c>
      <c r="D12" s="5"/>
      <c r="E12" s="5"/>
      <c r="F12" s="5"/>
    </row>
    <row r="13" customFormat="false" ht="15" hidden="false" customHeight="true" outlineLevel="0" collapsed="false">
      <c r="B13" s="4" t="s">
        <v>17</v>
      </c>
      <c r="C13" s="5" t="s">
        <v>18</v>
      </c>
      <c r="D13" s="5"/>
      <c r="E13" s="5"/>
      <c r="F13" s="5"/>
    </row>
    <row r="16" customFormat="false" ht="15" hidden="false" customHeight="false" outlineLevel="0" collapsed="false">
      <c r="B16" s="6" t="s">
        <v>19</v>
      </c>
    </row>
    <row r="17" customFormat="false" ht="30" hidden="false" customHeight="true" outlineLevel="0" collapsed="false">
      <c r="B17" s="7" t="s">
        <v>20</v>
      </c>
      <c r="C17" s="7"/>
      <c r="D17" s="7"/>
      <c r="E17" s="7"/>
      <c r="F17" s="7"/>
      <c r="G17" s="7"/>
    </row>
    <row r="18" customFormat="false" ht="30" hidden="false" customHeight="true" outlineLevel="0" collapsed="false">
      <c r="B18" s="7" t="s">
        <v>21</v>
      </c>
      <c r="C18" s="7"/>
      <c r="D18" s="7"/>
      <c r="E18" s="7"/>
      <c r="F18" s="7"/>
      <c r="G18" s="7"/>
    </row>
    <row r="19" customFormat="false" ht="30" hidden="false" customHeight="true" outlineLevel="0" collapsed="false">
      <c r="B19" s="7" t="s">
        <v>22</v>
      </c>
      <c r="C19" s="7"/>
      <c r="D19" s="7"/>
      <c r="E19" s="7"/>
      <c r="F19" s="7"/>
      <c r="G19" s="7"/>
    </row>
    <row r="20" customFormat="false" ht="30" hidden="false" customHeight="true" outlineLevel="0" collapsed="false">
      <c r="B20" s="7" t="s">
        <v>23</v>
      </c>
      <c r="C20" s="7"/>
      <c r="D20" s="7"/>
      <c r="E20" s="7"/>
      <c r="F20" s="7"/>
      <c r="G20" s="7"/>
    </row>
    <row r="21" customFormat="false" ht="30" hidden="false" customHeight="true" outlineLevel="0" collapsed="false">
      <c r="B21" s="7" t="s">
        <v>24</v>
      </c>
      <c r="C21" s="7"/>
      <c r="D21" s="7"/>
      <c r="E21" s="7"/>
      <c r="F21" s="7"/>
      <c r="G21" s="7"/>
    </row>
    <row r="24" customFormat="false" ht="15" hidden="false" customHeight="false" outlineLevel="0" collapsed="false">
      <c r="B24" s="6" t="s">
        <v>25</v>
      </c>
    </row>
    <row r="25" customFormat="false" ht="15" hidden="false" customHeight="true" outlineLevel="0" collapsed="false">
      <c r="B25" s="8" t="s">
        <v>26</v>
      </c>
      <c r="C25" s="5" t="s">
        <v>27</v>
      </c>
      <c r="D25" s="5"/>
      <c r="E25" s="5"/>
      <c r="F25" s="5"/>
      <c r="G25" s="5"/>
    </row>
    <row r="26" customFormat="false" ht="15" hidden="false" customHeight="true" outlineLevel="0" collapsed="false">
      <c r="B26" s="8" t="s">
        <v>28</v>
      </c>
      <c r="C26" s="5" t="s">
        <v>29</v>
      </c>
      <c r="D26" s="5"/>
      <c r="E26" s="5"/>
      <c r="F26" s="5"/>
      <c r="G26" s="5"/>
    </row>
    <row r="27" customFormat="false" ht="15" hidden="false" customHeight="true" outlineLevel="0" collapsed="false">
      <c r="B27" s="8" t="s">
        <v>30</v>
      </c>
      <c r="C27" s="5" t="s">
        <v>31</v>
      </c>
      <c r="D27" s="5"/>
      <c r="E27" s="5"/>
      <c r="F27" s="5"/>
      <c r="G27" s="5"/>
    </row>
    <row r="28" customFormat="false" ht="15" hidden="false" customHeight="true" outlineLevel="0" collapsed="false">
      <c r="B28" s="8" t="s">
        <v>32</v>
      </c>
      <c r="C28" s="5" t="s">
        <v>33</v>
      </c>
      <c r="D28" s="5"/>
      <c r="E28" s="5"/>
      <c r="F28" s="5"/>
      <c r="G28" s="5"/>
    </row>
    <row r="30" customFormat="false" ht="15" hidden="false" customHeight="false" outlineLevel="0" collapsed="false">
      <c r="B30" s="9" t="s">
        <v>34</v>
      </c>
    </row>
  </sheetData>
  <mergeCells count="17">
    <mergeCell ref="C6:F6"/>
    <mergeCell ref="C7:F7"/>
    <mergeCell ref="C8:F8"/>
    <mergeCell ref="C9:F9"/>
    <mergeCell ref="C10:F10"/>
    <mergeCell ref="C11:F11"/>
    <mergeCell ref="C12:F12"/>
    <mergeCell ref="C13:F13"/>
    <mergeCell ref="B17:G17"/>
    <mergeCell ref="B18:G18"/>
    <mergeCell ref="B19:G19"/>
    <mergeCell ref="B20:G20"/>
    <mergeCell ref="B21:G21"/>
    <mergeCell ref="C25:G25"/>
    <mergeCell ref="C26:G26"/>
    <mergeCell ref="C27:G27"/>
    <mergeCell ref="C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32"/>
    <col collapsed="false" customWidth="true" hidden="false" outlineLevel="0" max="7" min="5" style="0" width="11"/>
    <col collapsed="false" customWidth="true" hidden="false" outlineLevel="0" max="8" min="8" style="0" width="48"/>
    <col collapsed="false" customWidth="true" hidden="false" outlineLevel="0" max="11" min="9" style="0" width="11"/>
    <col collapsed="false" customWidth="true" hidden="false" outlineLevel="0" max="12" min="12" style="0" width="18"/>
    <col collapsed="false" customWidth="true" hidden="false" outlineLevel="0" max="13" min="13" style="0" width="14"/>
  </cols>
  <sheetData>
    <row r="1" customFormat="false" ht="27.75" hidden="false" customHeight="true" outlineLevel="0" collapsed="false">
      <c r="A1" s="10" t="s">
        <v>35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customFormat="false" ht="15" hidden="false" customHeight="false" outlineLevel="0" collapsed="false">
      <c r="A2" s="11" t="s">
        <v>36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customFormat="false" ht="36" hidden="false" customHeight="true" outlineLevel="0" collapsed="false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  <c r="F4" s="12" t="s">
        <v>42</v>
      </c>
      <c r="G4" s="12" t="s">
        <v>43</v>
      </c>
      <c r="H4" s="12" t="s">
        <v>44</v>
      </c>
      <c r="I4" s="12" t="s">
        <v>45</v>
      </c>
      <c r="J4" s="12" t="s">
        <v>46</v>
      </c>
      <c r="K4" s="12" t="s">
        <v>47</v>
      </c>
      <c r="L4" s="12" t="s">
        <v>7</v>
      </c>
      <c r="M4" s="12" t="s">
        <v>48</v>
      </c>
    </row>
    <row r="5" customFormat="false" ht="90" hidden="false" customHeight="true" outlineLevel="0" collapsed="false">
      <c r="A5" s="13" t="s">
        <v>49</v>
      </c>
      <c r="B5" s="14" t="s">
        <v>50</v>
      </c>
      <c r="C5" s="14" t="s">
        <v>51</v>
      </c>
      <c r="D5" s="14" t="s">
        <v>52</v>
      </c>
      <c r="E5" s="15" t="n">
        <v>2</v>
      </c>
      <c r="F5" s="15" t="n">
        <v>4</v>
      </c>
      <c r="G5" s="16" t="n">
        <f aca="false">E5*F5</f>
        <v>8</v>
      </c>
      <c r="H5" s="14" t="s">
        <v>53</v>
      </c>
      <c r="I5" s="15" t="n">
        <v>1</v>
      </c>
      <c r="J5" s="15" t="n">
        <v>4</v>
      </c>
      <c r="K5" s="16" t="n">
        <f aca="false">I5*J5</f>
        <v>4</v>
      </c>
      <c r="L5" s="14" t="s">
        <v>54</v>
      </c>
      <c r="M5" s="14" t="s">
        <v>55</v>
      </c>
    </row>
    <row r="6" customFormat="false" ht="90" hidden="false" customHeight="true" outlineLevel="0" collapsed="false">
      <c r="A6" s="13" t="s">
        <v>56</v>
      </c>
      <c r="B6" s="14" t="s">
        <v>57</v>
      </c>
      <c r="C6" s="14" t="s">
        <v>58</v>
      </c>
      <c r="D6" s="14" t="s">
        <v>59</v>
      </c>
      <c r="E6" s="15" t="n">
        <v>2</v>
      </c>
      <c r="F6" s="15" t="n">
        <v>4</v>
      </c>
      <c r="G6" s="16" t="n">
        <f aca="false">E6*F6</f>
        <v>8</v>
      </c>
      <c r="H6" s="14" t="s">
        <v>60</v>
      </c>
      <c r="I6" s="15" t="n">
        <v>1</v>
      </c>
      <c r="J6" s="15" t="n">
        <v>3</v>
      </c>
      <c r="K6" s="16" t="n">
        <f aca="false">I6*J6</f>
        <v>3</v>
      </c>
      <c r="L6" s="14" t="s">
        <v>61</v>
      </c>
      <c r="M6" s="14" t="s">
        <v>55</v>
      </c>
    </row>
    <row r="7" customFormat="false" ht="90" hidden="false" customHeight="true" outlineLevel="0" collapsed="false">
      <c r="A7" s="13" t="s">
        <v>62</v>
      </c>
      <c r="B7" s="14" t="s">
        <v>63</v>
      </c>
      <c r="C7" s="14" t="s">
        <v>64</v>
      </c>
      <c r="D7" s="14" t="s">
        <v>65</v>
      </c>
      <c r="E7" s="15" t="n">
        <v>3</v>
      </c>
      <c r="F7" s="15" t="n">
        <v>2</v>
      </c>
      <c r="G7" s="16" t="n">
        <f aca="false">E7*F7</f>
        <v>6</v>
      </c>
      <c r="H7" s="14" t="s">
        <v>66</v>
      </c>
      <c r="I7" s="15" t="n">
        <v>2</v>
      </c>
      <c r="J7" s="15" t="n">
        <v>2</v>
      </c>
      <c r="K7" s="16" t="n">
        <f aca="false">I7*J7</f>
        <v>4</v>
      </c>
      <c r="L7" s="14" t="s">
        <v>67</v>
      </c>
      <c r="M7" s="14" t="s">
        <v>55</v>
      </c>
    </row>
    <row r="8" customFormat="false" ht="90" hidden="false" customHeight="true" outlineLevel="0" collapsed="false">
      <c r="A8" s="13" t="s">
        <v>68</v>
      </c>
      <c r="B8" s="14" t="s">
        <v>69</v>
      </c>
      <c r="C8" s="14" t="s">
        <v>70</v>
      </c>
      <c r="D8" s="14" t="s">
        <v>71</v>
      </c>
      <c r="E8" s="15" t="n">
        <v>2</v>
      </c>
      <c r="F8" s="15" t="n">
        <v>3</v>
      </c>
      <c r="G8" s="16" t="n">
        <f aca="false">E8*F8</f>
        <v>6</v>
      </c>
      <c r="H8" s="14" t="s">
        <v>72</v>
      </c>
      <c r="I8" s="15" t="n">
        <v>1</v>
      </c>
      <c r="J8" s="15" t="n">
        <v>2</v>
      </c>
      <c r="K8" s="16" t="n">
        <f aca="false">I8*J8</f>
        <v>2</v>
      </c>
      <c r="L8" s="14" t="s">
        <v>54</v>
      </c>
      <c r="M8" s="14" t="s">
        <v>55</v>
      </c>
    </row>
    <row r="9" customFormat="false" ht="90" hidden="false" customHeight="true" outlineLevel="0" collapsed="false">
      <c r="A9" s="13" t="s">
        <v>73</v>
      </c>
      <c r="B9" s="14" t="s">
        <v>57</v>
      </c>
      <c r="C9" s="14" t="s">
        <v>74</v>
      </c>
      <c r="D9" s="14" t="s">
        <v>75</v>
      </c>
      <c r="E9" s="15" t="n">
        <v>3</v>
      </c>
      <c r="F9" s="15" t="n">
        <v>4</v>
      </c>
      <c r="G9" s="16" t="n">
        <f aca="false">E9*F9</f>
        <v>12</v>
      </c>
      <c r="H9" s="14" t="s">
        <v>76</v>
      </c>
      <c r="I9" s="15" t="n">
        <v>2</v>
      </c>
      <c r="J9" s="15" t="n">
        <v>3</v>
      </c>
      <c r="K9" s="16" t="n">
        <f aca="false">I9*J9</f>
        <v>6</v>
      </c>
      <c r="L9" s="14" t="s">
        <v>77</v>
      </c>
      <c r="M9" s="14" t="s">
        <v>78</v>
      </c>
    </row>
    <row r="10" customFormat="false" ht="90" hidden="false" customHeight="true" outlineLevel="0" collapsed="false">
      <c r="A10" s="13" t="s">
        <v>79</v>
      </c>
      <c r="B10" s="14" t="s">
        <v>80</v>
      </c>
      <c r="C10" s="14" t="s">
        <v>81</v>
      </c>
      <c r="D10" s="14" t="s">
        <v>82</v>
      </c>
      <c r="E10" s="15" t="n">
        <v>2</v>
      </c>
      <c r="F10" s="15" t="n">
        <v>4</v>
      </c>
      <c r="G10" s="16" t="n">
        <f aca="false">E10*F10</f>
        <v>8</v>
      </c>
      <c r="H10" s="14" t="s">
        <v>83</v>
      </c>
      <c r="I10" s="15" t="n">
        <v>1</v>
      </c>
      <c r="J10" s="15" t="n">
        <v>4</v>
      </c>
      <c r="K10" s="16" t="n">
        <f aca="false">I10*J10</f>
        <v>4</v>
      </c>
      <c r="L10" s="14" t="s">
        <v>84</v>
      </c>
      <c r="M10" s="14" t="s">
        <v>55</v>
      </c>
    </row>
    <row r="11" customFormat="false" ht="90" hidden="false" customHeight="true" outlineLevel="0" collapsed="false">
      <c r="A11" s="13" t="s">
        <v>85</v>
      </c>
      <c r="B11" s="14" t="s">
        <v>86</v>
      </c>
      <c r="C11" s="14" t="s">
        <v>87</v>
      </c>
      <c r="D11" s="14" t="s">
        <v>88</v>
      </c>
      <c r="E11" s="15" t="n">
        <v>2</v>
      </c>
      <c r="F11" s="15" t="n">
        <v>3</v>
      </c>
      <c r="G11" s="16" t="n">
        <f aca="false">E11*F11</f>
        <v>6</v>
      </c>
      <c r="H11" s="14" t="s">
        <v>89</v>
      </c>
      <c r="I11" s="15" t="n">
        <v>1</v>
      </c>
      <c r="J11" s="15" t="n">
        <v>4</v>
      </c>
      <c r="K11" s="16" t="n">
        <f aca="false">I11*J11</f>
        <v>4</v>
      </c>
      <c r="L11" s="14" t="s">
        <v>9</v>
      </c>
      <c r="M11" s="14" t="s">
        <v>55</v>
      </c>
    </row>
    <row r="12" customFormat="false" ht="90" hidden="false" customHeight="true" outlineLevel="0" collapsed="false">
      <c r="A12" s="13" t="s">
        <v>90</v>
      </c>
      <c r="B12" s="14" t="s">
        <v>86</v>
      </c>
      <c r="C12" s="14" t="s">
        <v>91</v>
      </c>
      <c r="D12" s="14" t="s">
        <v>92</v>
      </c>
      <c r="E12" s="15" t="n">
        <v>2</v>
      </c>
      <c r="F12" s="15" t="n">
        <v>3</v>
      </c>
      <c r="G12" s="16" t="n">
        <f aca="false">E12*F12</f>
        <v>6</v>
      </c>
      <c r="H12" s="14" t="s">
        <v>93</v>
      </c>
      <c r="I12" s="15" t="n">
        <v>2</v>
      </c>
      <c r="J12" s="15" t="n">
        <v>2</v>
      </c>
      <c r="K12" s="16" t="n">
        <f aca="false">I12*J12</f>
        <v>4</v>
      </c>
      <c r="L12" s="14" t="s">
        <v>94</v>
      </c>
      <c r="M12" s="14" t="s">
        <v>55</v>
      </c>
    </row>
    <row r="13" customFormat="false" ht="90" hidden="false" customHeight="true" outlineLevel="0" collapsed="false">
      <c r="A13" s="13" t="s">
        <v>95</v>
      </c>
      <c r="B13" s="14" t="s">
        <v>96</v>
      </c>
      <c r="C13" s="14" t="s">
        <v>97</v>
      </c>
      <c r="D13" s="14" t="s">
        <v>98</v>
      </c>
      <c r="E13" s="15" t="n">
        <v>2</v>
      </c>
      <c r="F13" s="15" t="n">
        <v>3</v>
      </c>
      <c r="G13" s="16" t="n">
        <f aca="false">E13*F13</f>
        <v>6</v>
      </c>
      <c r="H13" s="14" t="s">
        <v>99</v>
      </c>
      <c r="I13" s="15" t="n">
        <v>1</v>
      </c>
      <c r="J13" s="15" t="n">
        <v>3</v>
      </c>
      <c r="K13" s="16" t="n">
        <f aca="false">I13*J13</f>
        <v>3</v>
      </c>
      <c r="L13" s="14" t="s">
        <v>54</v>
      </c>
      <c r="M13" s="14" t="s">
        <v>55</v>
      </c>
    </row>
    <row r="14" customFormat="false" ht="90" hidden="false" customHeight="true" outlineLevel="0" collapsed="false">
      <c r="A14" s="13" t="s">
        <v>100</v>
      </c>
      <c r="B14" s="14" t="s">
        <v>69</v>
      </c>
      <c r="C14" s="14" t="s">
        <v>101</v>
      </c>
      <c r="D14" s="14" t="s">
        <v>102</v>
      </c>
      <c r="E14" s="15" t="n">
        <v>2</v>
      </c>
      <c r="F14" s="15" t="n">
        <v>4</v>
      </c>
      <c r="G14" s="16" t="n">
        <f aca="false">E14*F14</f>
        <v>8</v>
      </c>
      <c r="H14" s="14" t="s">
        <v>103</v>
      </c>
      <c r="I14" s="15" t="n">
        <v>2</v>
      </c>
      <c r="J14" s="15" t="n">
        <v>3</v>
      </c>
      <c r="K14" s="16" t="n">
        <f aca="false">I14*J14</f>
        <v>6</v>
      </c>
      <c r="L14" s="14" t="s">
        <v>54</v>
      </c>
      <c r="M14" s="14" t="s">
        <v>104</v>
      </c>
    </row>
    <row r="15" customFormat="false" ht="90" hidden="false" customHeight="true" outlineLevel="0" collapsed="false">
      <c r="A15" s="13" t="s">
        <v>105</v>
      </c>
      <c r="B15" s="14" t="s">
        <v>69</v>
      </c>
      <c r="C15" s="14" t="s">
        <v>106</v>
      </c>
      <c r="D15" s="14" t="s">
        <v>107</v>
      </c>
      <c r="E15" s="15" t="n">
        <v>3</v>
      </c>
      <c r="F15" s="15" t="n">
        <v>3</v>
      </c>
      <c r="G15" s="16" t="n">
        <f aca="false">E15*F15</f>
        <v>9</v>
      </c>
      <c r="H15" s="14" t="s">
        <v>108</v>
      </c>
      <c r="I15" s="15" t="n">
        <v>1</v>
      </c>
      <c r="J15" s="15" t="n">
        <v>3</v>
      </c>
      <c r="K15" s="16" t="n">
        <f aca="false">I15*J15</f>
        <v>3</v>
      </c>
      <c r="L15" s="14" t="s">
        <v>54</v>
      </c>
      <c r="M15" s="14" t="s">
        <v>55</v>
      </c>
    </row>
    <row r="16" customFormat="false" ht="90" hidden="false" customHeight="true" outlineLevel="0" collapsed="false">
      <c r="A16" s="13" t="s">
        <v>109</v>
      </c>
      <c r="B16" s="14" t="s">
        <v>110</v>
      </c>
      <c r="C16" s="14" t="s">
        <v>111</v>
      </c>
      <c r="D16" s="14" t="s">
        <v>112</v>
      </c>
      <c r="E16" s="15" t="n">
        <v>2</v>
      </c>
      <c r="F16" s="15" t="n">
        <v>3</v>
      </c>
      <c r="G16" s="16" t="n">
        <f aca="false">E16*F16</f>
        <v>6</v>
      </c>
      <c r="H16" s="14" t="s">
        <v>113</v>
      </c>
      <c r="I16" s="15" t="n">
        <v>1</v>
      </c>
      <c r="J16" s="15" t="n">
        <v>4</v>
      </c>
      <c r="K16" s="16" t="n">
        <f aca="false">I16*J16</f>
        <v>4</v>
      </c>
      <c r="L16" s="14" t="s">
        <v>114</v>
      </c>
      <c r="M16" s="14" t="s">
        <v>115</v>
      </c>
    </row>
    <row r="17" customFormat="false" ht="90" hidden="false" customHeight="true" outlineLevel="0" collapsed="false">
      <c r="A17" s="13" t="s">
        <v>116</v>
      </c>
      <c r="B17" s="14" t="s">
        <v>117</v>
      </c>
      <c r="C17" s="14" t="s">
        <v>118</v>
      </c>
      <c r="D17" s="14" t="s">
        <v>119</v>
      </c>
      <c r="E17" s="15" t="n">
        <v>2</v>
      </c>
      <c r="F17" s="15" t="n">
        <v>3</v>
      </c>
      <c r="G17" s="16" t="n">
        <f aca="false">E17*F17</f>
        <v>6</v>
      </c>
      <c r="H17" s="14" t="s">
        <v>120</v>
      </c>
      <c r="I17" s="15" t="n">
        <v>1</v>
      </c>
      <c r="J17" s="15" t="n">
        <v>3</v>
      </c>
      <c r="K17" s="16" t="n">
        <f aca="false">I17*J17</f>
        <v>3</v>
      </c>
      <c r="L17" s="14" t="s">
        <v>84</v>
      </c>
      <c r="M17" s="14" t="s">
        <v>55</v>
      </c>
    </row>
    <row r="18" customFormat="false" ht="90" hidden="false" customHeight="true" outlineLevel="0" collapsed="false">
      <c r="A18" s="13" t="s">
        <v>121</v>
      </c>
      <c r="B18" s="14" t="s">
        <v>122</v>
      </c>
      <c r="C18" s="14" t="s">
        <v>123</v>
      </c>
      <c r="D18" s="14" t="s">
        <v>124</v>
      </c>
      <c r="E18" s="15" t="n">
        <v>2</v>
      </c>
      <c r="F18" s="15" t="n">
        <v>2</v>
      </c>
      <c r="G18" s="16" t="n">
        <f aca="false">E18*F18</f>
        <v>4</v>
      </c>
      <c r="H18" s="14" t="s">
        <v>125</v>
      </c>
      <c r="I18" s="15" t="n">
        <v>1</v>
      </c>
      <c r="J18" s="15" t="n">
        <v>2</v>
      </c>
      <c r="K18" s="16" t="n">
        <f aca="false">I18*J18</f>
        <v>2</v>
      </c>
      <c r="L18" s="14" t="s">
        <v>126</v>
      </c>
      <c r="M18" s="14" t="s">
        <v>55</v>
      </c>
    </row>
  </sheetData>
  <mergeCells count="2">
    <mergeCell ref="A1:M1"/>
    <mergeCell ref="A2:M2"/>
  </mergeCells>
  <conditionalFormatting sqref="G5:G18">
    <cfRule type="cellIs" priority="2" operator="lessThanOrEqual" aboveAverage="0" equalAverage="0" bottom="0" percent="0" rank="0" text="" dxfId="0">
      <formula>3</formula>
    </cfRule>
    <cfRule type="cellIs" priority="3" operator="between" aboveAverage="0" equalAverage="0" bottom="0" percent="0" rank="0" text="" dxfId="1">
      <formula>4</formula>
      <formula>7</formula>
    </cfRule>
    <cfRule type="cellIs" priority="4" operator="greaterThanOrEqual" aboveAverage="0" equalAverage="0" bottom="0" percent="0" rank="0" text="" dxfId="2">
      <formula>8</formula>
    </cfRule>
  </conditionalFormatting>
  <conditionalFormatting sqref="K5:K18">
    <cfRule type="cellIs" priority="5" operator="lessThanOrEqual" aboveAverage="0" equalAverage="0" bottom="0" percent="0" rank="0" text="" dxfId="0">
      <formula>3</formula>
    </cfRule>
    <cfRule type="cellIs" priority="6" operator="between" aboveAverage="0" equalAverage="0" bottom="0" percent="0" rank="0" text="" dxfId="1">
      <formula>4</formula>
      <formula>7</formula>
    </cfRule>
    <cfRule type="cellIs" priority="7" operator="greaterThanOrEqual" aboveAverage="0" equalAverage="0" bottom="0" percent="0" rank="0" text="" dxfId="2">
      <formula>8</formula>
    </cfRule>
  </conditionalFormatting>
  <dataValidations count="1">
    <dataValidation allowBlank="true" error="Pick 1–4 from the dropdown" errorStyle="stop" errorTitle="Score range" operator="between" showDropDown="false" showErrorMessage="false" showInputMessage="false" sqref="E5:F18 I5:J18" type="list">
      <formula1>"1,2,3,4"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55"/>
    <col collapsed="false" customWidth="true" hidden="false" outlineLevel="0" max="4" min="4" style="0" width="45"/>
  </cols>
  <sheetData>
    <row r="1" customFormat="false" ht="22.05" hidden="false" customHeight="false" outlineLevel="0" collapsed="false">
      <c r="A1" s="10" t="s">
        <v>30</v>
      </c>
      <c r="B1" s="10"/>
      <c r="C1" s="10"/>
      <c r="D1" s="10"/>
    </row>
    <row r="2" customFormat="false" ht="15" hidden="false" customHeight="false" outlineLevel="0" collapsed="false">
      <c r="A2" s="11" t="s">
        <v>127</v>
      </c>
      <c r="B2" s="11"/>
      <c r="C2" s="11"/>
      <c r="D2" s="11"/>
    </row>
    <row r="4" customFormat="false" ht="15" hidden="false" customHeight="false" outlineLevel="0" collapsed="false">
      <c r="A4" s="17" t="s">
        <v>128</v>
      </c>
      <c r="B4" s="17"/>
      <c r="C4" s="17"/>
      <c r="D4" s="17"/>
    </row>
    <row r="5" customFormat="false" ht="15" hidden="false" customHeight="false" outlineLevel="0" collapsed="false">
      <c r="A5" s="12" t="s">
        <v>129</v>
      </c>
      <c r="B5" s="12" t="s">
        <v>130</v>
      </c>
      <c r="C5" s="12" t="s">
        <v>131</v>
      </c>
      <c r="D5" s="12" t="s">
        <v>132</v>
      </c>
    </row>
    <row r="6" customFormat="false" ht="27.75" hidden="false" customHeight="true" outlineLevel="0" collapsed="false">
      <c r="A6" s="13" t="n">
        <v>1</v>
      </c>
      <c r="B6" s="14" t="s">
        <v>133</v>
      </c>
      <c r="C6" s="14" t="s">
        <v>134</v>
      </c>
      <c r="D6" s="14" t="s">
        <v>135</v>
      </c>
    </row>
    <row r="7" customFormat="false" ht="27.75" hidden="false" customHeight="true" outlineLevel="0" collapsed="false">
      <c r="A7" s="13" t="n">
        <v>2</v>
      </c>
      <c r="B7" s="14" t="s">
        <v>136</v>
      </c>
      <c r="C7" s="14" t="s">
        <v>137</v>
      </c>
      <c r="D7" s="14" t="s">
        <v>138</v>
      </c>
    </row>
    <row r="8" customFormat="false" ht="27.75" hidden="false" customHeight="true" outlineLevel="0" collapsed="false">
      <c r="A8" s="13" t="n">
        <v>3</v>
      </c>
      <c r="B8" s="14" t="s">
        <v>139</v>
      </c>
      <c r="C8" s="14" t="s">
        <v>140</v>
      </c>
      <c r="D8" s="14" t="s">
        <v>141</v>
      </c>
    </row>
    <row r="9" customFormat="false" ht="27.75" hidden="false" customHeight="true" outlineLevel="0" collapsed="false">
      <c r="A9" s="13" t="n">
        <v>4</v>
      </c>
      <c r="B9" s="14" t="s">
        <v>142</v>
      </c>
      <c r="C9" s="14" t="s">
        <v>143</v>
      </c>
      <c r="D9" s="14" t="s">
        <v>144</v>
      </c>
    </row>
    <row r="12" customFormat="false" ht="15" hidden="false" customHeight="false" outlineLevel="0" collapsed="false">
      <c r="A12" s="17" t="s">
        <v>145</v>
      </c>
      <c r="B12" s="17"/>
      <c r="C12" s="17"/>
      <c r="D12" s="17"/>
    </row>
    <row r="13" customFormat="false" ht="15" hidden="false" customHeight="false" outlineLevel="0" collapsed="false">
      <c r="A13" s="12" t="s">
        <v>129</v>
      </c>
      <c r="B13" s="12" t="s">
        <v>130</v>
      </c>
      <c r="C13" s="12" t="s">
        <v>131</v>
      </c>
      <c r="D13" s="12" t="s">
        <v>146</v>
      </c>
    </row>
    <row r="14" customFormat="false" ht="36" hidden="false" customHeight="true" outlineLevel="0" collapsed="false">
      <c r="A14" s="13" t="n">
        <v>1</v>
      </c>
      <c r="B14" s="14" t="s">
        <v>147</v>
      </c>
      <c r="C14" s="14" t="s">
        <v>148</v>
      </c>
      <c r="D14" s="14" t="s">
        <v>149</v>
      </c>
    </row>
    <row r="15" customFormat="false" ht="36" hidden="false" customHeight="true" outlineLevel="0" collapsed="false">
      <c r="A15" s="13" t="n">
        <v>2</v>
      </c>
      <c r="B15" s="14" t="s">
        <v>150</v>
      </c>
      <c r="C15" s="14" t="s">
        <v>151</v>
      </c>
      <c r="D15" s="14" t="s">
        <v>152</v>
      </c>
    </row>
    <row r="16" customFormat="false" ht="36" hidden="false" customHeight="true" outlineLevel="0" collapsed="false">
      <c r="A16" s="13" t="n">
        <v>3</v>
      </c>
      <c r="B16" s="14" t="s">
        <v>153</v>
      </c>
      <c r="C16" s="14" t="s">
        <v>154</v>
      </c>
      <c r="D16" s="14" t="s">
        <v>155</v>
      </c>
    </row>
    <row r="17" customFormat="false" ht="36" hidden="false" customHeight="true" outlineLevel="0" collapsed="false">
      <c r="A17" s="13" t="n">
        <v>4</v>
      </c>
      <c r="B17" s="14" t="s">
        <v>156</v>
      </c>
      <c r="C17" s="14" t="s">
        <v>157</v>
      </c>
      <c r="D17" s="14" t="s">
        <v>158</v>
      </c>
    </row>
    <row r="20" customFormat="false" ht="15" hidden="false" customHeight="false" outlineLevel="0" collapsed="false">
      <c r="A20" s="17" t="s">
        <v>159</v>
      </c>
      <c r="B20" s="17"/>
      <c r="C20" s="17"/>
      <c r="D20" s="17"/>
    </row>
    <row r="21" customFormat="false" ht="15" hidden="false" customHeight="false" outlineLevel="0" collapsed="false">
      <c r="A21" s="12" t="s">
        <v>129</v>
      </c>
      <c r="B21" s="12" t="s">
        <v>160</v>
      </c>
      <c r="C21" s="12" t="s">
        <v>161</v>
      </c>
      <c r="D21" s="12" t="s">
        <v>162</v>
      </c>
    </row>
    <row r="22" customFormat="false" ht="27.75" hidden="false" customHeight="true" outlineLevel="0" collapsed="false">
      <c r="A22" s="18" t="s">
        <v>163</v>
      </c>
      <c r="B22" s="18" t="s">
        <v>164</v>
      </c>
      <c r="C22" s="19" t="s">
        <v>165</v>
      </c>
      <c r="D22" s="19" t="s">
        <v>166</v>
      </c>
    </row>
    <row r="23" customFormat="false" ht="27.75" hidden="false" customHeight="true" outlineLevel="0" collapsed="false">
      <c r="A23" s="20" t="s">
        <v>167</v>
      </c>
      <c r="B23" s="20" t="s">
        <v>168</v>
      </c>
      <c r="C23" s="21" t="s">
        <v>169</v>
      </c>
      <c r="D23" s="21" t="s">
        <v>170</v>
      </c>
    </row>
    <row r="24" customFormat="false" ht="27.75" hidden="false" customHeight="true" outlineLevel="0" collapsed="false">
      <c r="A24" s="22" t="s">
        <v>171</v>
      </c>
      <c r="B24" s="22" t="s">
        <v>172</v>
      </c>
      <c r="C24" s="23" t="s">
        <v>173</v>
      </c>
      <c r="D24" s="23" t="s">
        <v>174</v>
      </c>
    </row>
    <row r="25" customFormat="false" ht="27.75" hidden="false" customHeight="true" outlineLevel="0" collapsed="false">
      <c r="A25" s="22" t="s">
        <v>175</v>
      </c>
      <c r="B25" s="22" t="s">
        <v>176</v>
      </c>
      <c r="C25" s="23" t="s">
        <v>177</v>
      </c>
      <c r="D25" s="23" t="s">
        <v>178</v>
      </c>
    </row>
  </sheetData>
  <mergeCells count="5">
    <mergeCell ref="A1:D1"/>
    <mergeCell ref="A2:D2"/>
    <mergeCell ref="A4:D4"/>
    <mergeCell ref="A12:D12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55"/>
    <col collapsed="false" customWidth="true" hidden="false" outlineLevel="0" max="4" min="4" style="0" width="24"/>
    <col collapsed="false" customWidth="true" hidden="false" outlineLevel="0" max="6" min="5" style="0" width="14"/>
    <col collapsed="false" customWidth="true" hidden="false" outlineLevel="0" max="7" min="7" style="0" width="35"/>
  </cols>
  <sheetData>
    <row r="1" customFormat="false" ht="22.05" hidden="false" customHeight="false" outlineLevel="0" collapsed="false">
      <c r="A1" s="10" t="s">
        <v>32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A2" s="11" t="s">
        <v>179</v>
      </c>
      <c r="B2" s="11"/>
      <c r="C2" s="11"/>
      <c r="D2" s="11"/>
      <c r="E2" s="11"/>
      <c r="F2" s="11"/>
      <c r="G2" s="11"/>
    </row>
    <row r="4" customFormat="false" ht="31.5" hidden="false" customHeight="true" outlineLevel="0" collapsed="false">
      <c r="A4" s="12" t="s">
        <v>180</v>
      </c>
      <c r="B4" s="12" t="s">
        <v>181</v>
      </c>
      <c r="C4" s="12" t="s">
        <v>182</v>
      </c>
      <c r="D4" s="12" t="s">
        <v>7</v>
      </c>
      <c r="E4" s="12" t="s">
        <v>48</v>
      </c>
      <c r="F4" s="12" t="s">
        <v>17</v>
      </c>
      <c r="G4" s="12" t="s">
        <v>183</v>
      </c>
    </row>
    <row r="5" customFormat="false" ht="39.75" hidden="false" customHeight="true" outlineLevel="0" collapsed="false">
      <c r="A5" s="15" t="n">
        <v>1</v>
      </c>
      <c r="B5" s="14" t="s">
        <v>184</v>
      </c>
      <c r="C5" s="14" t="s">
        <v>185</v>
      </c>
      <c r="D5" s="14" t="s">
        <v>54</v>
      </c>
      <c r="E5" s="15" t="s">
        <v>55</v>
      </c>
      <c r="F5" s="15" t="s">
        <v>186</v>
      </c>
      <c r="G5" s="14" t="s">
        <v>187</v>
      </c>
    </row>
    <row r="6" customFormat="false" ht="39.75" hidden="false" customHeight="true" outlineLevel="0" collapsed="false">
      <c r="A6" s="15" t="n">
        <v>2</v>
      </c>
      <c r="B6" s="14" t="s">
        <v>73</v>
      </c>
      <c r="C6" s="14" t="s">
        <v>188</v>
      </c>
      <c r="D6" s="14" t="s">
        <v>189</v>
      </c>
      <c r="E6" s="15" t="s">
        <v>55</v>
      </c>
      <c r="F6" s="15" t="s">
        <v>186</v>
      </c>
      <c r="G6" s="14" t="s">
        <v>190</v>
      </c>
    </row>
    <row r="7" customFormat="false" ht="39.75" hidden="false" customHeight="true" outlineLevel="0" collapsed="false">
      <c r="A7" s="15" t="n">
        <v>3</v>
      </c>
      <c r="B7" s="14" t="s">
        <v>79</v>
      </c>
      <c r="C7" s="14" t="s">
        <v>191</v>
      </c>
      <c r="D7" s="14" t="s">
        <v>84</v>
      </c>
      <c r="E7" s="15" t="s">
        <v>55</v>
      </c>
      <c r="F7" s="15" t="s">
        <v>186</v>
      </c>
      <c r="G7" s="14" t="s">
        <v>192</v>
      </c>
    </row>
    <row r="8" customFormat="false" ht="39.75" hidden="false" customHeight="true" outlineLevel="0" collapsed="false">
      <c r="A8" s="15" t="n">
        <v>4</v>
      </c>
      <c r="B8" s="14" t="s">
        <v>193</v>
      </c>
      <c r="C8" s="14" t="s">
        <v>194</v>
      </c>
      <c r="D8" s="14" t="s">
        <v>195</v>
      </c>
      <c r="E8" s="15" t="s">
        <v>55</v>
      </c>
      <c r="F8" s="15" t="s">
        <v>186</v>
      </c>
      <c r="G8" s="14" t="s">
        <v>196</v>
      </c>
    </row>
    <row r="9" customFormat="false" ht="39.75" hidden="false" customHeight="true" outlineLevel="0" collapsed="false">
      <c r="A9" s="15" t="n">
        <v>5</v>
      </c>
      <c r="B9" s="14" t="s">
        <v>100</v>
      </c>
      <c r="C9" s="14" t="s">
        <v>197</v>
      </c>
      <c r="D9" s="14" t="s">
        <v>54</v>
      </c>
      <c r="E9" s="15" t="s">
        <v>104</v>
      </c>
      <c r="F9" s="15" t="s">
        <v>186</v>
      </c>
      <c r="G9" s="14" t="s">
        <v>198</v>
      </c>
    </row>
    <row r="10" customFormat="false" ht="39.75" hidden="false" customHeight="true" outlineLevel="0" collapsed="false">
      <c r="A10" s="15" t="n">
        <v>6</v>
      </c>
      <c r="B10" s="14" t="s">
        <v>105</v>
      </c>
      <c r="C10" s="14" t="s">
        <v>199</v>
      </c>
      <c r="D10" s="14" t="s">
        <v>54</v>
      </c>
      <c r="E10" s="15" t="s">
        <v>55</v>
      </c>
      <c r="F10" s="15" t="s">
        <v>186</v>
      </c>
      <c r="G10" s="14" t="s">
        <v>200</v>
      </c>
    </row>
    <row r="11" customFormat="false" ht="39.75" hidden="false" customHeight="true" outlineLevel="0" collapsed="false">
      <c r="A11" s="15" t="n">
        <v>7</v>
      </c>
      <c r="B11" s="14" t="s">
        <v>109</v>
      </c>
      <c r="C11" s="14" t="s">
        <v>201</v>
      </c>
      <c r="D11" s="14" t="s">
        <v>202</v>
      </c>
      <c r="E11" s="15" t="s">
        <v>115</v>
      </c>
      <c r="F11" s="15" t="s">
        <v>186</v>
      </c>
      <c r="G11" s="14" t="s">
        <v>203</v>
      </c>
    </row>
    <row r="12" customFormat="false" ht="39.75" hidden="false" customHeight="true" outlineLevel="0" collapsed="false">
      <c r="A12" s="15" t="n">
        <v>8</v>
      </c>
      <c r="B12" s="14" t="s">
        <v>116</v>
      </c>
      <c r="C12" s="14" t="s">
        <v>204</v>
      </c>
      <c r="D12" s="14" t="s">
        <v>84</v>
      </c>
      <c r="E12" s="15" t="s">
        <v>55</v>
      </c>
      <c r="F12" s="15" t="s">
        <v>186</v>
      </c>
      <c r="G12" s="14" t="s">
        <v>205</v>
      </c>
    </row>
    <row r="13" customFormat="false" ht="39.75" hidden="false" customHeight="true" outlineLevel="0" collapsed="false">
      <c r="A13" s="15" t="n">
        <v>9</v>
      </c>
      <c r="B13" s="14" t="s">
        <v>206</v>
      </c>
      <c r="C13" s="14" t="s">
        <v>207</v>
      </c>
      <c r="D13" s="14" t="s">
        <v>126</v>
      </c>
      <c r="E13" s="15" t="s">
        <v>55</v>
      </c>
      <c r="F13" s="15" t="s">
        <v>186</v>
      </c>
      <c r="G13" s="14" t="s">
        <v>208</v>
      </c>
    </row>
    <row r="14" customFormat="false" ht="39.75" hidden="false" customHeight="true" outlineLevel="0" collapsed="false">
      <c r="A14" s="15" t="n">
        <v>10</v>
      </c>
      <c r="B14" s="14" t="s">
        <v>206</v>
      </c>
      <c r="C14" s="14" t="s">
        <v>209</v>
      </c>
      <c r="D14" s="14" t="s">
        <v>9</v>
      </c>
      <c r="E14" s="15" t="s">
        <v>210</v>
      </c>
      <c r="F14" s="15" t="s">
        <v>186</v>
      </c>
      <c r="G14" s="14" t="s">
        <v>211</v>
      </c>
    </row>
  </sheetData>
  <mergeCells count="2">
    <mergeCell ref="A1:G1"/>
    <mergeCell ref="A2:G2"/>
  </mergeCells>
  <conditionalFormatting sqref="F5:F14">
    <cfRule type="expression" priority="2" aboveAverage="0" equalAverage="0" bottom="0" percent="0" rank="0" text="" dxfId="0">
      <formula>$F5="Done"</formula>
    </cfRule>
    <cfRule type="expression" priority="3" aboveAverage="0" equalAverage="0" bottom="0" percent="0" rank="0" text="" dxfId="1">
      <formula>$F5="Open"</formula>
    </cfRule>
    <cfRule type="expression" priority="4" aboveAverage="0" equalAverage="0" bottom="0" percent="0" rank="0" text="" dxfId="2">
      <formula>$F5="Blocked"</formula>
    </cfRule>
  </conditionalFormatting>
  <dataValidations count="1">
    <dataValidation allowBlank="true" errorStyle="stop" operator="between" showDropDown="false" showErrorMessage="false" showInputMessage="false" sqref="F5:F14" type="list">
      <formula1>"Open,In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2026-05-22T10:59:37Z</dcterms:created>
  <dc:creator>openpyxl</dc:creator>
  <dc:description/>
  <dc:language>en-US</dc:language>
  <cp:lastModifiedBy/>
  <dcterms:modified xsi:type="dcterms:W3CDTF">2026-05-22T10:59:37Z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